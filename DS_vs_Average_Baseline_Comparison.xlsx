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20-Finding Comparison" sheetId="1" state="visible" r:id="rId3"/>
    <sheet name="F05 Deep Dive" sheetId="2" state="visible" r:id="rId4"/>
    <sheet name="Methodology &amp; Limitation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<sst xmlns="http://schemas.openxmlformats.org/spreadsheetml/2006/main" count="195" uniqueCount="113">
  <si>
    <t xml:space="preserve">Dempster-Shafer vs. Simple Weighted Average — Baseline Comparison</t>
  </si>
  <si>
    <t xml:space="preserve">All 20 pipeline findings across Aave, Compound V2 and Venus. AI confidence, BetP and K values are taken directly from Appendix B and Table 6.2b of the dissertation — nothing in columns C, G or H is newly computed here. Columns E, F, I and J are this analysis's addition.</t>
  </si>
  <si>
    <t xml:space="preserve">Protocol</t>
  </si>
  <si>
    <t xml:space="preserve">Finding</t>
  </si>
  <si>
    <t xml:space="preserve">AI confidence
(pre-fusion)</t>
  </si>
  <si>
    <t xml:space="preserve">Test-checklist outcome
(as reported)</t>
  </si>
  <si>
    <t xml:space="preserve">Encoding used
for naive average</t>
  </si>
  <si>
    <t xml:space="preserve">Naive weighted
average (50/50)</t>
  </si>
  <si>
    <t xml:space="preserve">Actual BetP
(pipeline)</t>
  </si>
  <si>
    <t xml:space="preserve">Reported K
(conflict)</t>
  </si>
  <si>
    <t xml:space="preserve">Naive avg
minus BetP</t>
  </si>
  <si>
    <t xml:space="preserve">Is conflict visible
in the naive average?</t>
  </si>
  <si>
    <t xml:space="preserve">Note</t>
  </si>
  <si>
    <t xml:space="preserve">Aave</t>
  </si>
  <si>
    <t xml:space="preserve">F01 — Upgradeable Proxy Control</t>
  </si>
  <si>
    <t xml:space="preserve">Supported (clean, both directions tested)</t>
  </si>
  <si>
    <t xml:space="preserve">Pass = 1.0</t>
  </si>
  <si>
    <t xml:space="preserve">No — but K=0 here, so nothing is being hidden</t>
  </si>
  <si>
    <t xml:space="preserve">F02 — Registry Centralisation</t>
  </si>
  <si>
    <t xml:space="preserve">not reported</t>
  </si>
  <si>
    <t xml:space="preserve">n/a — K not individually reported</t>
  </si>
  <si>
    <t xml:space="preserve">K not individually reported; qualitatively clean agreement</t>
  </si>
  <si>
    <t xml:space="preserve">F03 — ACL Manager Role Concentration</t>
  </si>
  <si>
    <t xml:space="preserve">Supported (clean)</t>
  </si>
  <si>
    <t xml:space="preserve">F04 — Pool Configurator Authority</t>
  </si>
  <si>
    <t xml:space="preserve">F05 — Umbrella Deficit Authority</t>
  </si>
  <si>
    <t xml:space="preserve">0.90 (LLM mass); see deep-dive</t>
  </si>
  <si>
    <t xml:space="preserve">Mixed: 2 checklist items supported, 1 contradicted, 1 unresolved</t>
  </si>
  <si>
    <t xml:space="preserve">See F05 Deep Dive tab</t>
  </si>
  <si>
    <t xml:space="preserve">see deep-dive (0.70–0.95 range)</t>
  </si>
  <si>
    <t xml:space="preserve">No — one averaged number carries no conflict term</t>
  </si>
  <si>
    <t xml:space="preserve">Headline case — see F05 Deep Dive tab</t>
  </si>
  <si>
    <t xml:space="preserve">F06 — Asset Price Oracle Dependency</t>
  </si>
  <si>
    <t xml:space="preserve">Supported (after tracing an initial false failure)</t>
  </si>
  <si>
    <t xml:space="preserve">F07 — aToken Custody Dependency</t>
  </si>
  <si>
    <t xml:space="preserve">Supported; one behaviour partly untested</t>
  </si>
  <si>
    <t xml:space="preserve">Evidence gap (untested) is not conflict (K); no contradiction reported</t>
  </si>
  <si>
    <t xml:space="preserve">F08 — Interest Rate Strategy Externalisation</t>
  </si>
  <si>
    <t xml:space="preserve">F09 — Flashloan Receiver Composability</t>
  </si>
  <si>
    <t xml:space="preserve">Supported — dishonest borrower built and caught</t>
  </si>
  <si>
    <t xml:space="preserve">Largest AI→BetP movement in the dataset; testing strengthened rather than weakened this finding</t>
  </si>
  <si>
    <t xml:space="preserve">F10 — Position Manager Delegation</t>
  </si>
  <si>
    <t xml:space="preserve">F11 — Reserve Registry Dependency</t>
  </si>
  <si>
    <t xml:space="preserve">Venus</t>
  </si>
  <si>
    <t xml:space="preserve">Upgradeability — vault implementation swap</t>
  </si>
  <si>
    <t xml:space="preserve">Access Control — reserve-factor change</t>
  </si>
  <si>
    <t xml:space="preserve">Economic Dependency — interest accrual</t>
  </si>
  <si>
    <t xml:space="preserve">Asset Custody — donation attack (exchange-rate manipulation)</t>
  </si>
  <si>
    <t xml:space="preserve">Supported — real March 2026 exploit mechanism reproduced end to end</t>
  </si>
  <si>
    <t xml:space="preserve">Dependency — deposit cap vs live exchange rate</t>
  </si>
  <si>
    <t xml:space="preserve">Operational Resilience — reserve transfer to external system</t>
  </si>
  <si>
    <t xml:space="preserve">No test written — untested, not contradicted</t>
  </si>
  <si>
    <t xml:space="preserve">Untested = 0.5</t>
  </si>
  <si>
    <t xml:space="preserve">Uncertainty (missing evidence), not conflict; no test exists to disagree with the AI</t>
  </si>
  <si>
    <t xml:space="preserve">Compound</t>
  </si>
  <si>
    <t xml:space="preserve">Access Control — reserve factor (non-admin)</t>
  </si>
  <si>
    <t xml:space="preserve">Test executed but precondition unmet (market paused, rate returned zero) — unresolved, not a pass or fail</t>
  </si>
  <si>
    <t xml:space="preserve">Precondition unmet = 0.5</t>
  </si>
  <si>
    <t xml:space="preserve">K = 0.00 even though unresolved: an unmet precondition is retained uncertainty, not an active contradiction</t>
  </si>
  <si>
    <t xml:space="preserve">Upgradeability — negative control (implementation() absent)</t>
  </si>
  <si>
    <t xml:space="preserve">n/a — no AI hypothesis this run</t>
  </si>
  <si>
    <t xml:space="preserve">Deterministic-only: confirmed no upgrade mechanism exists</t>
  </si>
  <si>
    <t xml:space="preserve">Excluded — no AI score to average against</t>
  </si>
  <si>
    <t xml:space="preserve">excluded</t>
  </si>
  <si>
    <t xml:space="preserve">Excluded from the naive-average summary: no AI confidence exists to average against a deterministic-only result</t>
  </si>
  <si>
    <t xml:space="preserve">Summary (excludes F05 and the negative control — 17 findings)</t>
  </si>
  <si>
    <t xml:space="preserve">Reading this row: across the 17 clean-agreement findings, the naive 50/50 average and the pipeline's own BetP land within a few thousandths of each other. That is expected — when AI and test evidence agree, any reasonable combination rule gives roughly the same answer. The two methods only diverge where the evidence itself disagrees, which is exactly the F05 case isolated on the deep-dive tab.</t>
  </si>
  <si>
    <t xml:space="preserve">F05 — Why Averaging Hides What Dempster-Shafer Shows</t>
  </si>
  <si>
    <t xml:space="preserve">Aave F05 (Umbrella Deficit Authority) is the one finding in the dataset where AI and deterministic evidence genuinely disagreed. The worked calculation is in the dissertation's Appendix A; this tab shows what a simple average would have produced from the same underlying evidence, under two different — equally 'reasonable' — ways of encoding the mixed checklist result.</t>
  </si>
  <si>
    <t xml:space="preserve">Underlying evidence (from Appendix A)</t>
  </si>
  <si>
    <t xml:space="preserve">AI reasoning layer confidence</t>
  </si>
  <si>
    <t xml:space="preserve">Deterministic checklist — items supported</t>
  </si>
  <si>
    <t xml:space="preserve">Deterministic checklist — items contradicted</t>
  </si>
  <si>
    <t xml:space="preserve">Deterministic checklist — items unresolved</t>
  </si>
  <si>
    <t xml:space="preserve">Deterministic checklist — total items</t>
  </si>
  <si>
    <t xml:space="preserve">Encoding A — evaluator only checks pass/fail at the finding level, not the checklist detail</t>
  </si>
  <si>
    <t xml:space="preserve">Rationale: 2 of 4 checklist items passed, so the finding is recorded as 'supported' like every other finding in Table 6.1/6.2 — the contradiction never surfaces because pass/fail is the only thing captured per finding.</t>
  </si>
  <si>
    <t xml:space="preserve">Test-outcome encoding</t>
  </si>
  <si>
    <t xml:space="preserve">Naive 50/50 average</t>
  </si>
  <si>
    <t xml:space="preserve">Encoding B — evaluator averages at the checklist-item level (supported=1, contradicted=0, unresolved=0.5)</t>
  </si>
  <si>
    <t xml:space="preserve">Rationale: a more careful naive evaluator tries to reflect the mixed checklist rather than rounding to a single pass/fail — but without a principled combination rule, this is just one of many arbitrary weighting choices.</t>
  </si>
  <si>
    <t xml:space="preserve">Checklist-level score = (2×1 + 1×0 + 1×0.5) / 4</t>
  </si>
  <si>
    <t xml:space="preserve">Naive 50/50 average (AI confidence × checklist score)</t>
  </si>
  <si>
    <t xml:space="preserve">Comparison</t>
  </si>
  <si>
    <t xml:space="preserve">Method</t>
  </si>
  <si>
    <t xml:space="preserve">Score produced</t>
  </si>
  <si>
    <t xml:space="preserve">Conflict (K) disclosed?</t>
  </si>
  <si>
    <t xml:space="preserve">Reproducible from a fixed rule?</t>
  </si>
  <si>
    <t xml:space="preserve">Dempster-Shafer (pipeline, Appendix A)</t>
  </si>
  <si>
    <t xml:space="preserve">Yes — K = 0.225, reported alongside BetP</t>
  </si>
  <si>
    <t xml:space="preserve">Yes — fixed combination rule, same input always gives same output</t>
  </si>
  <si>
    <t xml:space="preserve">Naive average — Encoding A (finding-level pass/fail)</t>
  </si>
  <si>
    <t xml:space="preserve">No — single number, indistinguishable from a clean pass</t>
  </si>
  <si>
    <t xml:space="preserve">Only if 'supported' is defined by a majority-of-checklist rule, which is itself arbitrary</t>
  </si>
  <si>
    <t xml:space="preserve">Naive average — Encoding B (checklist-level weighting)</t>
  </si>
  <si>
    <t xml:space="preserve">No — single number, no conflict term exists to report</t>
  </si>
  <si>
    <t xml:space="preserve">No — depends on how contradicted/unresolved items are weighted; another evaluator could reasonably pick different weights and get a different score</t>
  </si>
  <si>
    <t xml:space="preserve">Headline finding: Encoding A lands almost exactly on the pipeline's own BetP (0.95 vs 0.952) — but arrives there by definition (F05 was already labelled 'supported' because most checklist items passed), and in doing so reports a number visually identical to a clean pass, with no way to see that a live registry check actively contradicted the AI. Encoding B, using the same underlying evidence but a different — equally defensible — weighting rule, lands at roughly 0.76: a full 0.19 away from Encoding A despite starting from identical inputs. That instability is the real problem with averaging: the answer depends on an unstated, arbitrary choice about how to fold conflicting checklist items into one number. Dempster-Shafer's K term does not have this instability because it is derived from the same fixed combination rule that produces BetP, and it discloses the disagreement explicitly rather than concealing it inside whichever encoding the evaluator happened to choose.</t>
  </si>
  <si>
    <t xml:space="preserve">Methodology, Assumptions and Honest Limitations of This Comparison</t>
  </si>
  <si>
    <t xml:space="preserve">Source of all AI-confidence, BetP and K figures</t>
  </si>
  <si>
    <t xml:space="preserve">Appendix B (Claim, Evidence and Conclusion — All 20 Findings) and Table 6.2b of 'Dissertation - Formatted v4 (Precision Pass).docx'. No figure on the '20-Finding Comparison' tab was recomputed or estimated by this analysis — they are transcribed directly from the dissertation's own reported results.</t>
  </si>
  <si>
    <t xml:space="preserve">What 'naive weighted average' means here</t>
  </si>
  <si>
    <t xml:space="preserve">A simple 50/50 mean of (a) the AI reasoning layer's stated confidence and (b) a single number standing in for the deterministic test outcome. This is meant to represent what a system would report if it combined AI and test evidence by averaging instead of by Dempster-Shafer fusion — the most common alternative in practice, and the one explicitly rejected in Section 5.3.3 of the dissertation ('unlike averaging, D-S preserves disagreement').</t>
  </si>
  <si>
    <t xml:space="preserve">Encoding choice: Pass = 1.0, Untested/unresolved = 0.5</t>
  </si>
  <si>
    <t xml:space="preserve">For the 16 findings reported as a clean 'supported' outcome, the test-outcome value is set to 1.0. For the 3 findings reported as untested or unresolved (Venus Operational Resilience, Compound Economic Dependency, and — separately — F05's own unresolved checklist item), the value is set to 0.5, representing 'no evidence either way' rather than a pass or a fail. This is a defensible but not unique choice; see the F05 tab for how sensitive the result is to this kind of choice.</t>
  </si>
  <si>
    <t xml:space="preserve">Why K (conflict) is only reported as a number for 7 of 20 findings</t>
  </si>
  <si>
    <t xml:space="preserve">Table 6.2b and Appendix A only publish belief/plausibility/BetP/K individually for F01, F04, F05, F09 (Aave) and the two Compound findings plus its negative control. The other 13 findings are reported in Appendix B only as an AI-confidence-to-BetP pair, without the underlying mass functions. This analysis does not fabricate K values for those 13 — it records them as 'not reported' rather than inferring a number the pipeline itself did not publish. The qualitative language in Appendix B ('supported (clean)', 'partly untested') is used only to choose the test-outcome encoding, not to estimate K.</t>
  </si>
  <si>
    <t xml:space="preserve">Why the negative control (Compound Upgradeability) is excluded from the summary average</t>
  </si>
  <si>
    <t xml:space="preserve">This finding was never raised by the AI reasoning layer — it is a deterministic-only negative control (Section 4.2/6.1). There is no AI confidence score to average against a test result, so including it in a 'naive average vs BetP' comparison would compare a two-input average against a one-input result. It remains in the full table for completeness but is excluded from the summary row.</t>
  </si>
  <si>
    <t xml:space="preserve">Why F05 is analysed separately rather than folded into the 50/50 formula used for the other 19</t>
  </si>
  <si>
    <t xml:space="preserve">F05 is the only finding with a genuinely mixed checklist result (2 supported, 1 contradicted, 1 unresolved out of 4 items). Applying a single fixed encoding rule to it the way the other 19 findings are encoded would understate the point of this analysis, which is that naive averaging's blind spot only appears once evidence actually conflicts. The F05 tab instead shows two different reasonable encodings side by side, to demonstrate that the naive-average answer for a conflicted finding is unstable in a way BetP is not.</t>
  </si>
  <si>
    <t xml:space="preserve">Overall conclusion this comparison supports</t>
  </si>
  <si>
    <t xml:space="preserve">Where AI and deterministic evidence already agree (17 of 20 findings), a naive average and the pipeline's BetP converge to within a few thousandths — averaging is not 'wrong' in the clean-agreement case. The material difference is not the score, but the missing conflict signal: an averaged number is structurally incapable of reporting K, so a reader cannot tell a genuinely conflicted finding like F05 apart from a clean pass just by looking at the score. Dempster-Shafer's contribution here is not that it produces a 'better' number for F05 — 0.952 is close to what a naive pass/fail average also produces — it is that K = 0.225 is reported at all, on a fixed and reproducible basis, rather than being visible only to someone who happens to read the underlying test logs.</t>
  </si>
</sst>
</file>

<file path=xl/styles.xml><?xml version="1.0" encoding="utf-8"?>
<styleSheet xmlns="http://schemas.openxmlformats.org/spreadsheetml/2006/main">
  <numFmts count="3">
    <numFmt numFmtId="164" formatCode="General"/>
    <numFmt numFmtId="165" formatCode="0.00"/>
    <numFmt numFmtId="166" formatCode="0.000"/>
  </numFmts>
  <fonts count="9">
    <font>
      <sz val="11"/>
      <color theme="1"/>
      <name val="Calibri"/>
      <family val="2"/>
      <charset val="1"/>
    </font>
    <font>
      <sz val="10"/>
      <name val="Arial"/>
      <family val="0"/>
    </font>
    <font>
      <sz val="10"/>
      <name val="Arial"/>
      <family val="0"/>
    </font>
    <font>
      <sz val="10"/>
      <name val="Arial"/>
      <family val="0"/>
    </font>
    <font>
      <b val="true"/>
      <sz val="13"/>
      <name val="Times New Roman"/>
      <family val="0"/>
      <charset val="1"/>
    </font>
    <font>
      <i val="true"/>
      <sz val="10"/>
      <color rgb="FF555555"/>
      <name val="Times New Roman"/>
      <family val="0"/>
      <charset val="1"/>
    </font>
    <font>
      <b val="true"/>
      <sz val="10"/>
      <color rgb="FFFFFFFF"/>
      <name val="Times New Roman"/>
      <family val="0"/>
      <charset val="1"/>
    </font>
    <font>
      <sz val="10"/>
      <name val="Times New Roman"/>
      <family val="0"/>
      <charset val="1"/>
    </font>
    <font>
      <b val="true"/>
      <sz val="10"/>
      <name val="Times New Roman"/>
      <family val="0"/>
      <charset val="1"/>
    </font>
  </fonts>
  <fills count="5">
    <fill>
      <patternFill patternType="none"/>
    </fill>
    <fill>
      <patternFill patternType="gray125"/>
    </fill>
    <fill>
      <patternFill patternType="solid">
        <fgColor rgb="FF1F3864"/>
        <bgColor rgb="FF333333"/>
      </patternFill>
    </fill>
    <fill>
      <patternFill patternType="solid">
        <fgColor rgb="FFFFF6D9"/>
        <bgColor rgb="FFE7F2E7"/>
      </patternFill>
    </fill>
    <fill>
      <patternFill patternType="solid">
        <fgColor rgb="FFE7F2E7"/>
        <bgColor rgb="FFFFF6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6" fontId="8"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6" fontId="7" fillId="4"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6D9"/>
      <rgbColor rgb="FFE7F2E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3" min="3" style="0" width="14"/>
    <col collapsed="false" customWidth="true" hidden="false" outlineLevel="0" max="4" min="4" style="0" width="34"/>
    <col collapsed="false" customWidth="true" hidden="false" outlineLevel="0" max="5" min="5" style="0" width="20"/>
    <col collapsed="false" customWidth="true" hidden="false" outlineLevel="0" max="6" min="6" style="0" width="14"/>
    <col collapsed="false" customWidth="true" hidden="false" outlineLevel="0" max="9" min="7" style="0" width="12"/>
    <col collapsed="false" customWidth="true" hidden="false" outlineLevel="0" max="10" min="10" style="0" width="30"/>
    <col collapsed="false" customWidth="true" hidden="false" outlineLevel="0" max="11" min="11" style="0" width="40"/>
  </cols>
  <sheetData>
    <row r="1" customFormat="false" ht="16.15" hidden="false" customHeight="false" outlineLevel="0" collapsed="false">
      <c r="A1" s="1" t="s">
        <v>0</v>
      </c>
      <c r="B1" s="1"/>
      <c r="C1" s="1"/>
      <c r="D1" s="1"/>
      <c r="E1" s="1"/>
      <c r="F1" s="1"/>
      <c r="G1" s="1"/>
      <c r="H1" s="1"/>
      <c r="I1" s="1"/>
      <c r="J1" s="1"/>
      <c r="K1" s="1"/>
    </row>
    <row r="2" customFormat="false" ht="30" hidden="false" customHeight="true" outlineLevel="0" collapsed="false">
      <c r="A2" s="2" t="s">
        <v>1</v>
      </c>
      <c r="B2" s="2"/>
      <c r="C2" s="2"/>
      <c r="D2" s="2"/>
      <c r="E2" s="2"/>
      <c r="F2" s="2"/>
      <c r="G2" s="2"/>
      <c r="H2" s="2"/>
      <c r="I2" s="2"/>
      <c r="J2" s="2"/>
      <c r="K2" s="2"/>
    </row>
    <row r="4" customFormat="false" ht="43.5" hidden="false" customHeight="true" outlineLevel="0" collapsed="false">
      <c r="A4" s="3" t="s">
        <v>2</v>
      </c>
      <c r="B4" s="3" t="s">
        <v>3</v>
      </c>
      <c r="C4" s="3" t="s">
        <v>4</v>
      </c>
      <c r="D4" s="3" t="s">
        <v>5</v>
      </c>
      <c r="E4" s="3" t="s">
        <v>6</v>
      </c>
      <c r="F4" s="3" t="s">
        <v>7</v>
      </c>
      <c r="G4" s="3" t="s">
        <v>8</v>
      </c>
      <c r="H4" s="3" t="s">
        <v>9</v>
      </c>
      <c r="I4" s="3" t="s">
        <v>10</v>
      </c>
      <c r="J4" s="3" t="s">
        <v>11</v>
      </c>
      <c r="K4" s="3" t="s">
        <v>12</v>
      </c>
    </row>
    <row r="5" customFormat="false" ht="23.85" hidden="false" customHeight="false" outlineLevel="0" collapsed="false">
      <c r="A5" s="4" t="s">
        <v>13</v>
      </c>
      <c r="B5" s="4" t="s">
        <v>14</v>
      </c>
      <c r="C5" s="5" t="n">
        <v>0.9</v>
      </c>
      <c r="D5" s="4" t="s">
        <v>15</v>
      </c>
      <c r="E5" s="4" t="s">
        <v>16</v>
      </c>
      <c r="F5" s="6" t="n">
        <f aca="false">AVERAGE(C5,1)</f>
        <v>0.95</v>
      </c>
      <c r="G5" s="6" t="n">
        <v>0.99</v>
      </c>
      <c r="H5" s="6" t="n">
        <v>0</v>
      </c>
      <c r="I5" s="6" t="n">
        <f aca="false">F5-G5</f>
        <v>-0.04</v>
      </c>
      <c r="J5" s="4" t="s">
        <v>17</v>
      </c>
      <c r="K5" s="4"/>
    </row>
    <row r="6" customFormat="false" ht="23.85" hidden="false" customHeight="false" outlineLevel="0" collapsed="false">
      <c r="A6" s="4" t="s">
        <v>13</v>
      </c>
      <c r="B6" s="4" t="s">
        <v>18</v>
      </c>
      <c r="C6" s="5" t="n">
        <v>0.92</v>
      </c>
      <c r="D6" s="4" t="s">
        <v>15</v>
      </c>
      <c r="E6" s="4" t="s">
        <v>16</v>
      </c>
      <c r="F6" s="6" t="n">
        <f aca="false">AVERAGE(C6,1)</f>
        <v>0.96</v>
      </c>
      <c r="G6" s="6" t="n">
        <v>0.99</v>
      </c>
      <c r="H6" s="4" t="s">
        <v>19</v>
      </c>
      <c r="I6" s="6" t="n">
        <f aca="false">F6-G6</f>
        <v>-0.03</v>
      </c>
      <c r="J6" s="4" t="s">
        <v>20</v>
      </c>
      <c r="K6" s="4" t="s">
        <v>21</v>
      </c>
    </row>
    <row r="7" customFormat="false" ht="23.85" hidden="false" customHeight="false" outlineLevel="0" collapsed="false">
      <c r="A7" s="4" t="s">
        <v>13</v>
      </c>
      <c r="B7" s="4" t="s">
        <v>22</v>
      </c>
      <c r="C7" s="5" t="n">
        <v>0.89</v>
      </c>
      <c r="D7" s="4" t="s">
        <v>23</v>
      </c>
      <c r="E7" s="4" t="s">
        <v>16</v>
      </c>
      <c r="F7" s="6" t="n">
        <f aca="false">AVERAGE(C7,1)</f>
        <v>0.945</v>
      </c>
      <c r="G7" s="6" t="n">
        <v>0.99</v>
      </c>
      <c r="H7" s="4" t="s">
        <v>19</v>
      </c>
      <c r="I7" s="6" t="n">
        <f aca="false">F7-G7</f>
        <v>-0.0449999999999999</v>
      </c>
      <c r="J7" s="4" t="s">
        <v>20</v>
      </c>
      <c r="K7" s="4" t="s">
        <v>21</v>
      </c>
    </row>
    <row r="8" customFormat="false" ht="23.85" hidden="false" customHeight="false" outlineLevel="0" collapsed="false">
      <c r="A8" s="4" t="s">
        <v>13</v>
      </c>
      <c r="B8" s="4" t="s">
        <v>24</v>
      </c>
      <c r="C8" s="5" t="n">
        <v>0.9</v>
      </c>
      <c r="D8" s="4" t="s">
        <v>23</v>
      </c>
      <c r="E8" s="4" t="s">
        <v>16</v>
      </c>
      <c r="F8" s="6" t="n">
        <f aca="false">AVERAGE(C8,1)</f>
        <v>0.95</v>
      </c>
      <c r="G8" s="6" t="n">
        <v>0.99</v>
      </c>
      <c r="H8" s="6" t="n">
        <v>0</v>
      </c>
      <c r="I8" s="6" t="n">
        <f aca="false">F8-G8</f>
        <v>-0.04</v>
      </c>
      <c r="J8" s="4" t="s">
        <v>17</v>
      </c>
      <c r="K8" s="4"/>
    </row>
    <row r="9" customFormat="false" ht="35.05" hidden="false" customHeight="false" outlineLevel="0" collapsed="false">
      <c r="A9" s="7" t="s">
        <v>13</v>
      </c>
      <c r="B9" s="7" t="s">
        <v>25</v>
      </c>
      <c r="C9" s="7" t="s">
        <v>26</v>
      </c>
      <c r="D9" s="7" t="s">
        <v>27</v>
      </c>
      <c r="E9" s="7" t="s">
        <v>28</v>
      </c>
      <c r="F9" s="7" t="s">
        <v>29</v>
      </c>
      <c r="G9" s="8" t="n">
        <v>0.952</v>
      </c>
      <c r="H9" s="8" t="n">
        <v>0.225</v>
      </c>
      <c r="I9" s="7"/>
      <c r="J9" s="7" t="s">
        <v>30</v>
      </c>
      <c r="K9" s="7" t="s">
        <v>31</v>
      </c>
    </row>
    <row r="10" customFormat="false" ht="23.85" hidden="false" customHeight="false" outlineLevel="0" collapsed="false">
      <c r="A10" s="4" t="s">
        <v>13</v>
      </c>
      <c r="B10" s="4" t="s">
        <v>32</v>
      </c>
      <c r="C10" s="5" t="n">
        <v>0.92</v>
      </c>
      <c r="D10" s="4" t="s">
        <v>33</v>
      </c>
      <c r="E10" s="4" t="s">
        <v>16</v>
      </c>
      <c r="F10" s="6" t="n">
        <f aca="false">AVERAGE(C10,1)</f>
        <v>0.96</v>
      </c>
      <c r="G10" s="6" t="n">
        <v>0.99</v>
      </c>
      <c r="H10" s="4" t="s">
        <v>19</v>
      </c>
      <c r="I10" s="6" t="n">
        <f aca="false">F10-G10</f>
        <v>-0.03</v>
      </c>
      <c r="J10" s="4" t="s">
        <v>20</v>
      </c>
      <c r="K10" s="4" t="s">
        <v>21</v>
      </c>
    </row>
    <row r="11" customFormat="false" ht="23.85" hidden="false" customHeight="false" outlineLevel="0" collapsed="false">
      <c r="A11" s="4" t="s">
        <v>13</v>
      </c>
      <c r="B11" s="4" t="s">
        <v>34</v>
      </c>
      <c r="C11" s="5" t="n">
        <v>0.9</v>
      </c>
      <c r="D11" s="4" t="s">
        <v>35</v>
      </c>
      <c r="E11" s="4" t="s">
        <v>16</v>
      </c>
      <c r="F11" s="6" t="n">
        <f aca="false">AVERAGE(C11,1)</f>
        <v>0.95</v>
      </c>
      <c r="G11" s="6" t="n">
        <v>0.99</v>
      </c>
      <c r="H11" s="4" t="s">
        <v>19</v>
      </c>
      <c r="I11" s="6" t="n">
        <f aca="false">F11-G11</f>
        <v>-0.04</v>
      </c>
      <c r="J11" s="4" t="s">
        <v>20</v>
      </c>
      <c r="K11" s="4" t="s">
        <v>36</v>
      </c>
    </row>
    <row r="12" customFormat="false" ht="23.85" hidden="false" customHeight="false" outlineLevel="0" collapsed="false">
      <c r="A12" s="4" t="s">
        <v>13</v>
      </c>
      <c r="B12" s="4" t="s">
        <v>37</v>
      </c>
      <c r="C12" s="5" t="n">
        <v>0.9</v>
      </c>
      <c r="D12" s="4" t="s">
        <v>35</v>
      </c>
      <c r="E12" s="4" t="s">
        <v>16</v>
      </c>
      <c r="F12" s="6" t="n">
        <f aca="false">AVERAGE(C12,1)</f>
        <v>0.95</v>
      </c>
      <c r="G12" s="6" t="n">
        <v>0.98</v>
      </c>
      <c r="H12" s="4" t="s">
        <v>19</v>
      </c>
      <c r="I12" s="6" t="n">
        <f aca="false">F12-G12</f>
        <v>-0.03</v>
      </c>
      <c r="J12" s="4" t="s">
        <v>20</v>
      </c>
      <c r="K12" s="4" t="s">
        <v>36</v>
      </c>
    </row>
    <row r="13" customFormat="false" ht="23.85" hidden="false" customHeight="false" outlineLevel="0" collapsed="false">
      <c r="A13" s="4" t="s">
        <v>13</v>
      </c>
      <c r="B13" s="4" t="s">
        <v>38</v>
      </c>
      <c r="C13" s="5" t="n">
        <v>0.75</v>
      </c>
      <c r="D13" s="4" t="s">
        <v>39</v>
      </c>
      <c r="E13" s="4" t="s">
        <v>16</v>
      </c>
      <c r="F13" s="6" t="n">
        <f aca="false">AVERAGE(C13,1)</f>
        <v>0.875</v>
      </c>
      <c r="G13" s="6" t="n">
        <v>0.97</v>
      </c>
      <c r="H13" s="6" t="n">
        <v>0</v>
      </c>
      <c r="I13" s="6" t="n">
        <f aca="false">F13-G13</f>
        <v>-0.095</v>
      </c>
      <c r="J13" s="4" t="s">
        <v>17</v>
      </c>
      <c r="K13" s="4" t="s">
        <v>40</v>
      </c>
    </row>
    <row r="14" customFormat="false" ht="23.85" hidden="false" customHeight="false" outlineLevel="0" collapsed="false">
      <c r="A14" s="4" t="s">
        <v>13</v>
      </c>
      <c r="B14" s="4" t="s">
        <v>41</v>
      </c>
      <c r="C14" s="5" t="n">
        <v>0.92</v>
      </c>
      <c r="D14" s="4" t="s">
        <v>23</v>
      </c>
      <c r="E14" s="4" t="s">
        <v>16</v>
      </c>
      <c r="F14" s="6" t="n">
        <f aca="false">AVERAGE(C14,1)</f>
        <v>0.96</v>
      </c>
      <c r="G14" s="6" t="n">
        <v>0.99</v>
      </c>
      <c r="H14" s="4" t="s">
        <v>19</v>
      </c>
      <c r="I14" s="6" t="n">
        <f aca="false">F14-G14</f>
        <v>-0.03</v>
      </c>
      <c r="J14" s="4" t="s">
        <v>20</v>
      </c>
      <c r="K14" s="4" t="s">
        <v>21</v>
      </c>
    </row>
    <row r="15" customFormat="false" ht="23.85" hidden="false" customHeight="false" outlineLevel="0" collapsed="false">
      <c r="A15" s="4" t="s">
        <v>13</v>
      </c>
      <c r="B15" s="4" t="s">
        <v>42</v>
      </c>
      <c r="C15" s="5" t="n">
        <v>0.88</v>
      </c>
      <c r="D15" s="4" t="s">
        <v>35</v>
      </c>
      <c r="E15" s="4" t="s">
        <v>16</v>
      </c>
      <c r="F15" s="6" t="n">
        <f aca="false">AVERAGE(C15,1)</f>
        <v>0.94</v>
      </c>
      <c r="G15" s="6" t="n">
        <v>0.99</v>
      </c>
      <c r="H15" s="4" t="s">
        <v>19</v>
      </c>
      <c r="I15" s="6" t="n">
        <f aca="false">F15-G15</f>
        <v>-0.05</v>
      </c>
      <c r="J15" s="4" t="s">
        <v>20</v>
      </c>
      <c r="K15" s="4" t="s">
        <v>36</v>
      </c>
    </row>
    <row r="16" customFormat="false" ht="23.85" hidden="false" customHeight="false" outlineLevel="0" collapsed="false">
      <c r="A16" s="4" t="s">
        <v>43</v>
      </c>
      <c r="B16" s="4" t="s">
        <v>44</v>
      </c>
      <c r="C16" s="5" t="n">
        <v>0.9</v>
      </c>
      <c r="D16" s="4" t="s">
        <v>23</v>
      </c>
      <c r="E16" s="4" t="s">
        <v>16</v>
      </c>
      <c r="F16" s="6" t="n">
        <f aca="false">AVERAGE(C16,1)</f>
        <v>0.95</v>
      </c>
      <c r="G16" s="6" t="n">
        <v>1</v>
      </c>
      <c r="H16" s="4" t="s">
        <v>19</v>
      </c>
      <c r="I16" s="6" t="n">
        <f aca="false">F16-G16</f>
        <v>-0.05</v>
      </c>
      <c r="J16" s="4" t="s">
        <v>20</v>
      </c>
      <c r="K16" s="4" t="s">
        <v>21</v>
      </c>
    </row>
    <row r="17" customFormat="false" ht="23.85" hidden="false" customHeight="false" outlineLevel="0" collapsed="false">
      <c r="A17" s="4" t="s">
        <v>43</v>
      </c>
      <c r="B17" s="4" t="s">
        <v>45</v>
      </c>
      <c r="C17" s="5" t="n">
        <v>0.85</v>
      </c>
      <c r="D17" s="4" t="s">
        <v>23</v>
      </c>
      <c r="E17" s="4" t="s">
        <v>16</v>
      </c>
      <c r="F17" s="6" t="n">
        <f aca="false">AVERAGE(C17,1)</f>
        <v>0.925</v>
      </c>
      <c r="G17" s="6" t="n">
        <v>1</v>
      </c>
      <c r="H17" s="4" t="s">
        <v>19</v>
      </c>
      <c r="I17" s="6" t="n">
        <f aca="false">F17-G17</f>
        <v>-0.075</v>
      </c>
      <c r="J17" s="4" t="s">
        <v>20</v>
      </c>
      <c r="K17" s="4" t="s">
        <v>21</v>
      </c>
    </row>
    <row r="18" customFormat="false" ht="23.85" hidden="false" customHeight="false" outlineLevel="0" collapsed="false">
      <c r="A18" s="4" t="s">
        <v>43</v>
      </c>
      <c r="B18" s="4" t="s">
        <v>46</v>
      </c>
      <c r="C18" s="5" t="n">
        <v>0.85</v>
      </c>
      <c r="D18" s="4" t="s">
        <v>23</v>
      </c>
      <c r="E18" s="4" t="s">
        <v>16</v>
      </c>
      <c r="F18" s="6" t="n">
        <f aca="false">AVERAGE(C18,1)</f>
        <v>0.925</v>
      </c>
      <c r="G18" s="6" t="n">
        <v>1</v>
      </c>
      <c r="H18" s="4" t="s">
        <v>19</v>
      </c>
      <c r="I18" s="6" t="n">
        <f aca="false">F18-G18</f>
        <v>-0.075</v>
      </c>
      <c r="J18" s="4" t="s">
        <v>20</v>
      </c>
      <c r="K18" s="4" t="s">
        <v>21</v>
      </c>
    </row>
    <row r="19" customFormat="false" ht="23.85" hidden="false" customHeight="false" outlineLevel="0" collapsed="false">
      <c r="A19" s="4" t="s">
        <v>43</v>
      </c>
      <c r="B19" s="4" t="s">
        <v>47</v>
      </c>
      <c r="C19" s="5" t="n">
        <v>0.9</v>
      </c>
      <c r="D19" s="4" t="s">
        <v>48</v>
      </c>
      <c r="E19" s="4" t="s">
        <v>16</v>
      </c>
      <c r="F19" s="6" t="n">
        <f aca="false">AVERAGE(C19,1)</f>
        <v>0.95</v>
      </c>
      <c r="G19" s="6" t="n">
        <v>1</v>
      </c>
      <c r="H19" s="4" t="s">
        <v>19</v>
      </c>
      <c r="I19" s="6" t="n">
        <f aca="false">F19-G19</f>
        <v>-0.05</v>
      </c>
      <c r="J19" s="4" t="s">
        <v>20</v>
      </c>
      <c r="K19" s="4" t="s">
        <v>21</v>
      </c>
    </row>
    <row r="20" customFormat="false" ht="23.85" hidden="false" customHeight="false" outlineLevel="0" collapsed="false">
      <c r="A20" s="4" t="s">
        <v>43</v>
      </c>
      <c r="B20" s="4" t="s">
        <v>49</v>
      </c>
      <c r="C20" s="5" t="n">
        <v>0.88</v>
      </c>
      <c r="D20" s="4" t="s">
        <v>23</v>
      </c>
      <c r="E20" s="4" t="s">
        <v>16</v>
      </c>
      <c r="F20" s="6" t="n">
        <f aca="false">AVERAGE(C20,1)</f>
        <v>0.94</v>
      </c>
      <c r="G20" s="6" t="n">
        <v>1</v>
      </c>
      <c r="H20" s="4" t="s">
        <v>19</v>
      </c>
      <c r="I20" s="6" t="n">
        <f aca="false">F20-G20</f>
        <v>-0.0600000000000001</v>
      </c>
      <c r="J20" s="4" t="s">
        <v>20</v>
      </c>
      <c r="K20" s="4" t="s">
        <v>21</v>
      </c>
    </row>
    <row r="21" customFormat="false" ht="23.85" hidden="false" customHeight="false" outlineLevel="0" collapsed="false">
      <c r="A21" s="4" t="s">
        <v>43</v>
      </c>
      <c r="B21" s="4" t="s">
        <v>50</v>
      </c>
      <c r="C21" s="5" t="n">
        <v>0.78</v>
      </c>
      <c r="D21" s="4" t="s">
        <v>51</v>
      </c>
      <c r="E21" s="4" t="s">
        <v>52</v>
      </c>
      <c r="F21" s="6" t="n">
        <f aca="false">AVERAGE(C21,0.5)</f>
        <v>0.64</v>
      </c>
      <c r="G21" s="6" t="n">
        <v>0.89</v>
      </c>
      <c r="H21" s="4" t="s">
        <v>19</v>
      </c>
      <c r="I21" s="6" t="n">
        <f aca="false">F21-G21</f>
        <v>-0.25</v>
      </c>
      <c r="J21" s="4" t="s">
        <v>20</v>
      </c>
      <c r="K21" s="4" t="s">
        <v>53</v>
      </c>
    </row>
    <row r="22" customFormat="false" ht="23.85" hidden="false" customHeight="false" outlineLevel="0" collapsed="false">
      <c r="A22" s="4" t="s">
        <v>54</v>
      </c>
      <c r="B22" s="4" t="s">
        <v>55</v>
      </c>
      <c r="C22" s="5" t="n">
        <v>0.96</v>
      </c>
      <c r="D22" s="4" t="s">
        <v>23</v>
      </c>
      <c r="E22" s="4" t="s">
        <v>16</v>
      </c>
      <c r="F22" s="6" t="n">
        <f aca="false">AVERAGE(C22,1)</f>
        <v>0.98</v>
      </c>
      <c r="G22" s="6" t="n">
        <v>0.99</v>
      </c>
      <c r="H22" s="6" t="n">
        <v>0</v>
      </c>
      <c r="I22" s="6" t="n">
        <f aca="false">F22-G22</f>
        <v>-0.01</v>
      </c>
      <c r="J22" s="4" t="s">
        <v>17</v>
      </c>
      <c r="K22" s="4"/>
    </row>
    <row r="23" customFormat="false" ht="35.05" hidden="false" customHeight="false" outlineLevel="0" collapsed="false">
      <c r="A23" s="4" t="s">
        <v>54</v>
      </c>
      <c r="B23" s="4" t="s">
        <v>46</v>
      </c>
      <c r="C23" s="5" t="n">
        <v>0.92</v>
      </c>
      <c r="D23" s="4" t="s">
        <v>56</v>
      </c>
      <c r="E23" s="4" t="s">
        <v>57</v>
      </c>
      <c r="F23" s="6" t="n">
        <f aca="false">AVERAGE(C23,0.5)</f>
        <v>0.71</v>
      </c>
      <c r="G23" s="6" t="n">
        <v>0.97</v>
      </c>
      <c r="H23" s="6" t="n">
        <v>0</v>
      </c>
      <c r="I23" s="6" t="n">
        <f aca="false">F23-G23</f>
        <v>-0.26</v>
      </c>
      <c r="J23" s="4" t="s">
        <v>17</v>
      </c>
      <c r="K23" s="4" t="s">
        <v>58</v>
      </c>
    </row>
    <row r="24" customFormat="false" ht="35.05" hidden="false" customHeight="false" outlineLevel="0" collapsed="false">
      <c r="A24" s="9" t="s">
        <v>54</v>
      </c>
      <c r="B24" s="9" t="s">
        <v>59</v>
      </c>
      <c r="C24" s="9" t="s">
        <v>60</v>
      </c>
      <c r="D24" s="9" t="s">
        <v>61</v>
      </c>
      <c r="E24" s="9" t="s">
        <v>62</v>
      </c>
      <c r="F24" s="9" t="s">
        <v>63</v>
      </c>
      <c r="G24" s="10" t="n">
        <v>1</v>
      </c>
      <c r="H24" s="10" t="n">
        <v>0</v>
      </c>
      <c r="I24" s="9"/>
      <c r="J24" s="9" t="s">
        <v>17</v>
      </c>
      <c r="K24" s="9" t="s">
        <v>64</v>
      </c>
    </row>
    <row r="26" customFormat="false" ht="15" hidden="false" customHeight="false" outlineLevel="0" collapsed="false">
      <c r="B26" s="11" t="s">
        <v>65</v>
      </c>
      <c r="F26" s="12" t="n">
        <f aca="false">AVERAGE(F5:F8,F10:F23)</f>
        <v>0.914444444444445</v>
      </c>
      <c r="G26" s="12" t="n">
        <f aca="false">AVERAGE(G5:G8,G10:G23)</f>
        <v>0.984444444444444</v>
      </c>
      <c r="I26" s="12" t="n">
        <f aca="false">AVERAGE(I5:I8,I10:I23)</f>
        <v>-0.07</v>
      </c>
    </row>
    <row r="28" customFormat="false" ht="45.75" hidden="false" customHeight="true" outlineLevel="0" collapsed="false">
      <c r="B28" s="2" t="s">
        <v>66</v>
      </c>
      <c r="C28" s="2"/>
      <c r="D28" s="2"/>
      <c r="E28" s="2"/>
      <c r="F28" s="2"/>
      <c r="G28" s="2"/>
      <c r="H28" s="2"/>
      <c r="I28" s="2"/>
      <c r="J28" s="2"/>
      <c r="K28" s="2"/>
    </row>
  </sheetData>
  <mergeCells count="3">
    <mergeCell ref="A1:K1"/>
    <mergeCell ref="A2:K2"/>
    <mergeCell ref="B28:K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22"/>
    <col collapsed="false" customWidth="true" hidden="false" outlineLevel="0" max="4" min="4" style="0" width="30"/>
    <col collapsed="false" customWidth="true" hidden="false" outlineLevel="0" max="6" min="5" style="0" width="14"/>
  </cols>
  <sheetData>
    <row r="1" customFormat="false" ht="16.15" hidden="false" customHeight="false" outlineLevel="0" collapsed="false">
      <c r="A1" s="1" t="s">
        <v>67</v>
      </c>
      <c r="B1" s="1"/>
      <c r="C1" s="1"/>
      <c r="D1" s="1"/>
      <c r="E1" s="1"/>
      <c r="F1" s="1"/>
    </row>
    <row r="2" customFormat="false" ht="43.5" hidden="false" customHeight="true" outlineLevel="0" collapsed="false">
      <c r="A2" s="2" t="s">
        <v>68</v>
      </c>
      <c r="B2" s="2"/>
      <c r="C2" s="2"/>
      <c r="D2" s="2"/>
      <c r="E2" s="2"/>
      <c r="F2" s="2"/>
    </row>
    <row r="4" customFormat="false" ht="15" hidden="false" customHeight="false" outlineLevel="0" collapsed="false">
      <c r="A4" s="11" t="s">
        <v>69</v>
      </c>
    </row>
    <row r="5" customFormat="false" ht="15" hidden="false" customHeight="false" outlineLevel="0" collapsed="false">
      <c r="A5" s="13" t="s">
        <v>70</v>
      </c>
      <c r="B5" s="13" t="n">
        <v>0.9</v>
      </c>
    </row>
    <row r="6" customFormat="false" ht="15" hidden="false" customHeight="false" outlineLevel="0" collapsed="false">
      <c r="A6" s="13" t="s">
        <v>71</v>
      </c>
      <c r="B6" s="13" t="n">
        <v>2</v>
      </c>
    </row>
    <row r="7" customFormat="false" ht="15" hidden="false" customHeight="false" outlineLevel="0" collapsed="false">
      <c r="A7" s="13" t="s">
        <v>72</v>
      </c>
      <c r="B7" s="13" t="n">
        <v>1</v>
      </c>
    </row>
    <row r="8" customFormat="false" ht="15" hidden="false" customHeight="false" outlineLevel="0" collapsed="false">
      <c r="A8" s="13" t="s">
        <v>73</v>
      </c>
      <c r="B8" s="13" t="n">
        <v>1</v>
      </c>
    </row>
    <row r="9" customFormat="false" ht="15" hidden="false" customHeight="false" outlineLevel="0" collapsed="false">
      <c r="A9" s="13" t="s">
        <v>74</v>
      </c>
      <c r="B9" s="13" t="n">
        <v>4</v>
      </c>
    </row>
    <row r="11" customFormat="false" ht="15" hidden="false" customHeight="false" outlineLevel="0" collapsed="false">
      <c r="A11" s="14" t="s">
        <v>75</v>
      </c>
      <c r="B11" s="14"/>
      <c r="C11" s="14"/>
      <c r="D11" s="14"/>
      <c r="E11" s="14"/>
      <c r="F11" s="14"/>
    </row>
    <row r="12" customFormat="false" ht="30" hidden="false" customHeight="true" outlineLevel="0" collapsed="false">
      <c r="A12" s="15" t="s">
        <v>76</v>
      </c>
      <c r="B12" s="15"/>
      <c r="C12" s="15"/>
      <c r="D12" s="15"/>
      <c r="E12" s="15"/>
      <c r="F12" s="15"/>
    </row>
    <row r="13" customFormat="false" ht="15" hidden="false" customHeight="false" outlineLevel="0" collapsed="false">
      <c r="A13" s="13" t="s">
        <v>77</v>
      </c>
      <c r="B13" s="13" t="n">
        <v>1</v>
      </c>
    </row>
    <row r="14" customFormat="false" ht="15" hidden="false" customHeight="false" outlineLevel="0" collapsed="false">
      <c r="A14" s="11" t="s">
        <v>78</v>
      </c>
      <c r="B14" s="16" t="n">
        <f aca="false">AVERAGE(B5,B13)</f>
        <v>0.95</v>
      </c>
    </row>
    <row r="16" customFormat="false" ht="15" hidden="false" customHeight="false" outlineLevel="0" collapsed="false">
      <c r="A16" s="14" t="s">
        <v>79</v>
      </c>
      <c r="B16" s="14"/>
      <c r="C16" s="14"/>
      <c r="D16" s="14"/>
      <c r="E16" s="14"/>
      <c r="F16" s="14"/>
    </row>
    <row r="17" customFormat="false" ht="30" hidden="false" customHeight="true" outlineLevel="0" collapsed="false">
      <c r="A17" s="15" t="s">
        <v>80</v>
      </c>
      <c r="B17" s="15"/>
      <c r="C17" s="15"/>
      <c r="D17" s="15"/>
      <c r="E17" s="15"/>
      <c r="F17" s="15"/>
    </row>
    <row r="18" customFormat="false" ht="15" hidden="false" customHeight="false" outlineLevel="0" collapsed="false">
      <c r="A18" s="13" t="s">
        <v>81</v>
      </c>
      <c r="B18" s="16" t="n">
        <f aca="false">(2*1+1*0+1*0.5)/4</f>
        <v>0.625</v>
      </c>
    </row>
    <row r="19" customFormat="false" ht="15" hidden="false" customHeight="false" outlineLevel="0" collapsed="false">
      <c r="A19" s="11" t="s">
        <v>82</v>
      </c>
      <c r="B19" s="16" t="n">
        <f aca="false">AVERAGE(B5,B18)</f>
        <v>0.7625</v>
      </c>
    </row>
    <row r="21" customFormat="false" ht="15" hidden="false" customHeight="false" outlineLevel="0" collapsed="false">
      <c r="A21" s="11" t="s">
        <v>83</v>
      </c>
    </row>
    <row r="22" customFormat="false" ht="15" hidden="false" customHeight="false" outlineLevel="0" collapsed="false">
      <c r="A22" s="3" t="s">
        <v>84</v>
      </c>
      <c r="B22" s="3" t="s">
        <v>85</v>
      </c>
      <c r="C22" s="3" t="s">
        <v>86</v>
      </c>
      <c r="D22" s="3" t="s">
        <v>87</v>
      </c>
    </row>
    <row r="23" customFormat="false" ht="23.85" hidden="false" customHeight="false" outlineLevel="0" collapsed="false">
      <c r="A23" s="4" t="s">
        <v>88</v>
      </c>
      <c r="B23" s="6" t="n">
        <v>0.952</v>
      </c>
      <c r="C23" s="4" t="s">
        <v>89</v>
      </c>
      <c r="D23" s="4" t="s">
        <v>90</v>
      </c>
    </row>
    <row r="24" customFormat="false" ht="35.05" hidden="false" customHeight="false" outlineLevel="0" collapsed="false">
      <c r="A24" s="4" t="s">
        <v>91</v>
      </c>
      <c r="B24" s="6" t="n">
        <f aca="false">B14</f>
        <v>0.95</v>
      </c>
      <c r="C24" s="4" t="s">
        <v>92</v>
      </c>
      <c r="D24" s="4" t="s">
        <v>93</v>
      </c>
    </row>
    <row r="25" customFormat="false" ht="57.45" hidden="false" customHeight="false" outlineLevel="0" collapsed="false">
      <c r="A25" s="4" t="s">
        <v>94</v>
      </c>
      <c r="B25" s="6" t="n">
        <f aca="false">B19</f>
        <v>0.7625</v>
      </c>
      <c r="C25" s="4" t="s">
        <v>95</v>
      </c>
      <c r="D25" s="4" t="s">
        <v>96</v>
      </c>
    </row>
    <row r="27" customFormat="false" ht="129.75" hidden="false" customHeight="true" outlineLevel="0" collapsed="false">
      <c r="A27" s="17" t="s">
        <v>97</v>
      </c>
      <c r="B27" s="17"/>
      <c r="C27" s="17"/>
      <c r="D27" s="17"/>
      <c r="E27" s="17"/>
      <c r="F27" s="17"/>
    </row>
  </sheetData>
  <mergeCells count="7">
    <mergeCell ref="A1:F1"/>
    <mergeCell ref="A2:F2"/>
    <mergeCell ref="A11:F11"/>
    <mergeCell ref="A12:F12"/>
    <mergeCell ref="A16:F16"/>
    <mergeCell ref="A17:F17"/>
    <mergeCell ref="A27:F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00"/>
  </cols>
  <sheetData>
    <row r="1" customFormat="false" ht="16.15" hidden="false" customHeight="false" outlineLevel="0" collapsed="false">
      <c r="A1" s="1" t="s">
        <v>98</v>
      </c>
      <c r="B1" s="1"/>
    </row>
    <row r="3" customFormat="false" ht="90" hidden="false" customHeight="true" outlineLevel="0" collapsed="false">
      <c r="A3" s="18" t="s">
        <v>99</v>
      </c>
      <c r="B3" s="4" t="s">
        <v>100</v>
      </c>
    </row>
    <row r="4" customFormat="false" ht="90" hidden="false" customHeight="true" outlineLevel="0" collapsed="false">
      <c r="A4" s="18" t="s">
        <v>101</v>
      </c>
      <c r="B4" s="4" t="s">
        <v>102</v>
      </c>
    </row>
    <row r="5" customFormat="false" ht="90" hidden="false" customHeight="true" outlineLevel="0" collapsed="false">
      <c r="A5" s="18" t="s">
        <v>103</v>
      </c>
      <c r="B5" s="4" t="s">
        <v>104</v>
      </c>
    </row>
    <row r="6" customFormat="false" ht="90" hidden="false" customHeight="true" outlineLevel="0" collapsed="false">
      <c r="A6" s="18" t="s">
        <v>105</v>
      </c>
      <c r="B6" s="4" t="s">
        <v>106</v>
      </c>
    </row>
    <row r="7" customFormat="false" ht="90" hidden="false" customHeight="true" outlineLevel="0" collapsed="false">
      <c r="A7" s="18" t="s">
        <v>107</v>
      </c>
      <c r="B7" s="4" t="s">
        <v>108</v>
      </c>
    </row>
    <row r="8" customFormat="false" ht="90" hidden="false" customHeight="true" outlineLevel="0" collapsed="false">
      <c r="A8" s="18" t="s">
        <v>109</v>
      </c>
      <c r="B8" s="4" t="s">
        <v>110</v>
      </c>
    </row>
    <row r="9" customFormat="false" ht="90" hidden="false" customHeight="true" outlineLevel="0" collapsed="false">
      <c r="A9" s="18" t="s">
        <v>111</v>
      </c>
      <c r="B9" s="4" t="s">
        <v>112</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2026-09-04T00:06:25Z</dcterms:created>
  <dc:creator>openpyxl</dc:creator>
  <dc:description/>
  <dc:language>en-US</dc:language>
  <cp:lastModifiedBy/>
  <dcterms:modified xsi:type="dcterms:W3CDTF">2026-09-04T00:06:25Z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